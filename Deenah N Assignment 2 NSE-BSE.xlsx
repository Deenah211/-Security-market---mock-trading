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ef45811c3f8d6/Documentos/"/>
    </mc:Choice>
  </mc:AlternateContent>
  <xr:revisionPtr revIDLastSave="16" documentId="8_{1A3B9BDE-96FA-4D91-A97A-DABD9803DFAB}" xr6:coauthVersionLast="47" xr6:coauthVersionMax="47" xr10:uidLastSave="{692DEB8F-6CC5-4498-897F-4CAAA4D513CC}"/>
  <bookViews>
    <workbookView xWindow="-108" yWindow="-108" windowWidth="23256" windowHeight="12456" activeTab="1" xr2:uid="{E75E9487-EB69-4F1B-85BB-207E2025A368}"/>
  </bookViews>
  <sheets>
    <sheet name="Session 1" sheetId="1" r:id="rId1"/>
    <sheet name="Session 2" sheetId="2" r:id="rId2"/>
    <sheet name="Session 3" sheetId="3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D16" i="3"/>
  <c r="D15" i="3"/>
  <c r="D14" i="3" l="1"/>
  <c r="E14" i="3"/>
  <c r="F14" i="3"/>
  <c r="G14" i="3"/>
  <c r="H14" i="3"/>
  <c r="E15" i="3"/>
  <c r="F15" i="3"/>
  <c r="G15" i="3"/>
  <c r="H15" i="3"/>
  <c r="E16" i="3"/>
  <c r="F16" i="3"/>
  <c r="G16" i="3"/>
  <c r="H16" i="3"/>
  <c r="D17" i="3"/>
  <c r="E17" i="3"/>
  <c r="F17" i="3"/>
  <c r="G17" i="3"/>
  <c r="H17" i="3"/>
  <c r="D18" i="3"/>
  <c r="E18" i="3"/>
  <c r="F18" i="3"/>
  <c r="G18" i="3"/>
  <c r="H18" i="3"/>
  <c r="E24" i="3"/>
  <c r="F24" i="3"/>
  <c r="H24" i="3"/>
  <c r="D25" i="3"/>
  <c r="E25" i="3"/>
  <c r="E23" i="3" s="1"/>
  <c r="F25" i="3"/>
  <c r="F23" i="3" s="1"/>
  <c r="G25" i="3"/>
  <c r="G23" i="3" s="1"/>
  <c r="H25" i="3"/>
  <c r="H23" i="3" s="1"/>
  <c r="F3" i="2"/>
  <c r="F4" i="2"/>
  <c r="F5" i="2"/>
  <c r="F6" i="2"/>
  <c r="F7" i="2"/>
  <c r="G24" i="3" l="1"/>
  <c r="D23" i="3"/>
</calcChain>
</file>

<file path=xl/sharedStrings.xml><?xml version="1.0" encoding="utf-8"?>
<sst xmlns="http://schemas.openxmlformats.org/spreadsheetml/2006/main" count="194" uniqueCount="104">
  <si>
    <t>LISTED &amp; UNLISTED COMPANIES</t>
  </si>
  <si>
    <t>S.No</t>
  </si>
  <si>
    <t xml:space="preserve">Company Name </t>
  </si>
  <si>
    <t>Sector</t>
  </si>
  <si>
    <t>Listed Co. Yes/No</t>
  </si>
  <si>
    <t>NSE/BSE</t>
  </si>
  <si>
    <t>Reliance Industries Limited</t>
  </si>
  <si>
    <t>Oil refining/marketing</t>
  </si>
  <si>
    <t>Yes</t>
  </si>
  <si>
    <t>Tata Consultancy Services (TCS)</t>
  </si>
  <si>
    <t>Information technology services</t>
  </si>
  <si>
    <t>Infosys Limited</t>
  </si>
  <si>
    <t>HDFC Bank Limited</t>
  </si>
  <si>
    <t>Major banks</t>
  </si>
  <si>
    <t>ICICI Bank Limited</t>
  </si>
  <si>
    <t>Regional banks</t>
  </si>
  <si>
    <t>State Bank of India (SBI)</t>
  </si>
  <si>
    <t>ITC Limited</t>
  </si>
  <si>
    <t>Tobacoo</t>
  </si>
  <si>
    <t>Larsen &amp; Toubro Limited</t>
  </si>
  <si>
    <t>Engenering &amp; construction</t>
  </si>
  <si>
    <t>Bharti Airtel Limited</t>
  </si>
  <si>
    <t>Wireless telecomunications</t>
  </si>
  <si>
    <t>Hindustan Unilever Limited</t>
  </si>
  <si>
    <t>Households personal care</t>
  </si>
  <si>
    <t>Tata Motors Limited</t>
  </si>
  <si>
    <t>Motor vehicles</t>
  </si>
  <si>
    <t>Mahindra &amp; Mahindra Limited</t>
  </si>
  <si>
    <t>Asian Paints Limited</t>
  </si>
  <si>
    <t>Industrial Specialities</t>
  </si>
  <si>
    <t>Sun Pharmaceutical Industries Limited</t>
  </si>
  <si>
    <t>Pharmaceuticals</t>
  </si>
  <si>
    <t>UltraTech Cement Limited</t>
  </si>
  <si>
    <t>Construction materials</t>
  </si>
  <si>
    <t>Company Name</t>
  </si>
  <si>
    <t>Tata Sons Private Limited</t>
  </si>
  <si>
    <t>Holding Company / Investment</t>
  </si>
  <si>
    <t>No</t>
  </si>
  <si>
    <t>NIL</t>
  </si>
  <si>
    <t>Zoho Corporation Private Limited</t>
  </si>
  <si>
    <t>Information Technology (Software / SaaS)</t>
  </si>
  <si>
    <t>Serum Institute of India Private Limited</t>
  </si>
  <si>
    <t>Biotechnology &amp; Vaccines</t>
  </si>
  <si>
    <t>Parle Products Private Limited</t>
  </si>
  <si>
    <t>Food &amp; Beverages (FMCG)</t>
  </si>
  <si>
    <t>Gujarat Cooperative Milk Marketing Federation (Amul)</t>
  </si>
  <si>
    <t>Dairy Products (FMCG)</t>
  </si>
  <si>
    <t>Intas Pharmaceuticals Limited</t>
  </si>
  <si>
    <t>Megha Engineering &amp; Infrastructures Limited</t>
  </si>
  <si>
    <t>Engineering &amp; Infrastructure</t>
  </si>
  <si>
    <t>Haldiram Snacks Private Limited</t>
  </si>
  <si>
    <t>Food Processing / Packaged Foods (FMCG)</t>
  </si>
  <si>
    <t>Razorpay Software Private Limited</t>
  </si>
  <si>
    <t>FinTech / Digital Payments</t>
  </si>
  <si>
    <t>Dream Sports Private Limited</t>
  </si>
  <si>
    <t>Sports Technology / Online Gaming</t>
  </si>
  <si>
    <t>Flipkart Internet Private Limited</t>
  </si>
  <si>
    <t>E-commerce</t>
  </si>
  <si>
    <t>Oravel Stays Limited (OYO)</t>
  </si>
  <si>
    <t>Hospitality &amp; Travel Technology</t>
  </si>
  <si>
    <t>Pine Labs Private Limited</t>
  </si>
  <si>
    <t>FinTech / Payment Solutions</t>
  </si>
  <si>
    <t>InMobi Technology Services Private Limited</t>
  </si>
  <si>
    <t>Advertising Technology (AdTech)</t>
  </si>
  <si>
    <t>Dreamplug Technologies Private Limited (CRED)</t>
  </si>
  <si>
    <t>FinTech / Credit &amp; Payments</t>
  </si>
  <si>
    <t>Share price Observation Table</t>
  </si>
  <si>
    <t>S.NO</t>
  </si>
  <si>
    <t>Stock Symbol (Ticker Symbol)</t>
  </si>
  <si>
    <t>Current price</t>
  </si>
  <si>
    <t>Previous Close Price</t>
  </si>
  <si>
    <t>Price change</t>
  </si>
  <si>
    <t>Price Movement</t>
  </si>
  <si>
    <t>RELIANCE</t>
  </si>
  <si>
    <t>Down</t>
  </si>
  <si>
    <t>TCS</t>
  </si>
  <si>
    <t>INFY</t>
  </si>
  <si>
    <t>HDFCBANK</t>
  </si>
  <si>
    <t>ICICIBANK</t>
  </si>
  <si>
    <t>Historical Share Price Analysis</t>
  </si>
  <si>
    <t>CP</t>
  </si>
  <si>
    <t>1 YEAR</t>
  </si>
  <si>
    <t>2 YEAR</t>
  </si>
  <si>
    <t>3 YEAR</t>
  </si>
  <si>
    <t>4 YEAR</t>
  </si>
  <si>
    <t>5 YEAR</t>
  </si>
  <si>
    <t>VALUE OF 100000 INVESTMENT TODAY</t>
  </si>
  <si>
    <t>COMPANY NAME</t>
  </si>
  <si>
    <t>AMOUNT INVESTED</t>
  </si>
  <si>
    <t xml:space="preserve">IF INVESTED 1 YEAR AGO </t>
  </si>
  <si>
    <t>2 YEARS AGO</t>
  </si>
  <si>
    <t>3 YEARS AGO</t>
  </si>
  <si>
    <t>4 YEARS AGO</t>
  </si>
  <si>
    <t>5 YEARS AGO</t>
  </si>
  <si>
    <t>COMPAROISON WITH FIXED RETURN INVESTMENT</t>
  </si>
  <si>
    <t>INVESTED TYPE</t>
  </si>
  <si>
    <t xml:space="preserve">1 YEARS </t>
  </si>
  <si>
    <t xml:space="preserve">2 YEARS </t>
  </si>
  <si>
    <t xml:space="preserve">3 YEARS </t>
  </si>
  <si>
    <t xml:space="preserve">4 YEARS </t>
  </si>
  <si>
    <t xml:space="preserve">5 YEARS </t>
  </si>
  <si>
    <t>SAVING ACCOUNT (3%)</t>
  </si>
  <si>
    <t>FIXED DEPOSIT(7%)</t>
  </si>
  <si>
    <t>BEST PERFORMING STOCK (ICICI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</si>
</sst>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0" xfId="0" applyFont="1"/>
    <xf numFmtId="4" fontId="1" fillId="0" borderId="1" xfId="0" applyNumberFormat="1" applyFont="1" applyBorder="1"/>
    <xf numFmtId="164" fontId="1" fillId="0" borderId="1" xfId="0" applyNumberFormat="1" applyFont="1" applyBorder="1"/>
    <xf numFmtId="8" fontId="1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2606-7E38-4F79-9C58-A768CACF242C}">
  <dimension ref="A1:E36"/>
  <sheetViews>
    <sheetView topLeftCell="A16" workbookViewId="0">
      <selection activeCell="B26" sqref="B26"/>
    </sheetView>
  </sheetViews>
  <sheetFormatPr defaultRowHeight="14.4" x14ac:dyDescent="0.3"/>
  <cols>
    <col min="1" max="1" width="5.44140625" bestFit="1" customWidth="1"/>
    <col min="2" max="2" width="51.33203125" bestFit="1" customWidth="1"/>
    <col min="3" max="3" width="40.6640625" bestFit="1" customWidth="1"/>
    <col min="4" max="4" width="18.33203125" bestFit="1" customWidth="1"/>
    <col min="5" max="5" width="10" bestFit="1" customWidth="1"/>
  </cols>
  <sheetData>
    <row r="1" spans="1:5" ht="24.6" x14ac:dyDescent="0.4">
      <c r="B1" s="12" t="s">
        <v>0</v>
      </c>
      <c r="C1" s="12"/>
      <c r="D1" s="12"/>
      <c r="E1" s="12"/>
    </row>
    <row r="2" spans="1:5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5.6" x14ac:dyDescent="0.3">
      <c r="A3" s="1">
        <v>1</v>
      </c>
      <c r="B3" s="1" t="s">
        <v>6</v>
      </c>
      <c r="C3" s="1" t="s">
        <v>7</v>
      </c>
      <c r="D3" s="1" t="s">
        <v>8</v>
      </c>
      <c r="E3" s="1" t="s">
        <v>5</v>
      </c>
    </row>
    <row r="4" spans="1:5" ht="15.6" x14ac:dyDescent="0.3">
      <c r="A4" s="1">
        <v>2</v>
      </c>
      <c r="B4" s="1" t="s">
        <v>9</v>
      </c>
      <c r="C4" s="1" t="s">
        <v>10</v>
      </c>
      <c r="D4" s="1" t="s">
        <v>8</v>
      </c>
      <c r="E4" s="1" t="s">
        <v>5</v>
      </c>
    </row>
    <row r="5" spans="1:5" ht="15.6" x14ac:dyDescent="0.3">
      <c r="A5" s="1">
        <v>3</v>
      </c>
      <c r="B5" s="1" t="s">
        <v>11</v>
      </c>
      <c r="C5" s="1" t="s">
        <v>10</v>
      </c>
      <c r="D5" s="1" t="s">
        <v>8</v>
      </c>
      <c r="E5" s="1" t="s">
        <v>5</v>
      </c>
    </row>
    <row r="6" spans="1:5" ht="15.6" x14ac:dyDescent="0.3">
      <c r="A6" s="1">
        <v>4</v>
      </c>
      <c r="B6" s="1" t="s">
        <v>12</v>
      </c>
      <c r="C6" s="1" t="s">
        <v>13</v>
      </c>
      <c r="D6" s="1" t="s">
        <v>8</v>
      </c>
      <c r="E6" s="1" t="s">
        <v>5</v>
      </c>
    </row>
    <row r="7" spans="1:5" ht="15.6" x14ac:dyDescent="0.3">
      <c r="A7" s="1">
        <v>5</v>
      </c>
      <c r="B7" s="1" t="s">
        <v>14</v>
      </c>
      <c r="C7" s="1" t="s">
        <v>15</v>
      </c>
      <c r="D7" s="1" t="s">
        <v>8</v>
      </c>
      <c r="E7" s="1" t="s">
        <v>5</v>
      </c>
    </row>
    <row r="8" spans="1:5" ht="15.6" x14ac:dyDescent="0.3">
      <c r="A8" s="1">
        <v>6</v>
      </c>
      <c r="B8" s="1" t="s">
        <v>16</v>
      </c>
      <c r="C8" s="1" t="s">
        <v>15</v>
      </c>
      <c r="D8" s="1" t="s">
        <v>8</v>
      </c>
      <c r="E8" s="1" t="s">
        <v>5</v>
      </c>
    </row>
    <row r="9" spans="1:5" ht="15.6" x14ac:dyDescent="0.3">
      <c r="A9" s="1">
        <v>7</v>
      </c>
      <c r="B9" s="1" t="s">
        <v>17</v>
      </c>
      <c r="C9" s="1" t="s">
        <v>18</v>
      </c>
      <c r="D9" s="1" t="s">
        <v>8</v>
      </c>
      <c r="E9" s="1" t="s">
        <v>5</v>
      </c>
    </row>
    <row r="10" spans="1:5" ht="15.6" x14ac:dyDescent="0.3">
      <c r="A10" s="1">
        <v>8</v>
      </c>
      <c r="B10" s="1" t="s">
        <v>19</v>
      </c>
      <c r="C10" s="1" t="s">
        <v>20</v>
      </c>
      <c r="D10" s="1" t="s">
        <v>8</v>
      </c>
      <c r="E10" s="1" t="s">
        <v>5</v>
      </c>
    </row>
    <row r="11" spans="1:5" ht="15.6" x14ac:dyDescent="0.3">
      <c r="A11" s="1">
        <v>9</v>
      </c>
      <c r="B11" s="1" t="s">
        <v>21</v>
      </c>
      <c r="C11" s="1" t="s">
        <v>22</v>
      </c>
      <c r="D11" s="1" t="s">
        <v>8</v>
      </c>
      <c r="E11" s="1" t="s">
        <v>5</v>
      </c>
    </row>
    <row r="12" spans="1:5" ht="15.6" x14ac:dyDescent="0.3">
      <c r="A12" s="1">
        <v>10</v>
      </c>
      <c r="B12" s="1" t="s">
        <v>23</v>
      </c>
      <c r="C12" s="1" t="s">
        <v>24</v>
      </c>
      <c r="D12" s="1" t="s">
        <v>8</v>
      </c>
      <c r="E12" s="1" t="s">
        <v>5</v>
      </c>
    </row>
    <row r="13" spans="1:5" ht="15.6" x14ac:dyDescent="0.3">
      <c r="A13" s="1">
        <v>11</v>
      </c>
      <c r="B13" s="1" t="s">
        <v>25</v>
      </c>
      <c r="C13" s="1" t="s">
        <v>26</v>
      </c>
      <c r="D13" s="1" t="s">
        <v>8</v>
      </c>
      <c r="E13" s="1" t="s">
        <v>5</v>
      </c>
    </row>
    <row r="14" spans="1:5" ht="15.6" x14ac:dyDescent="0.3">
      <c r="A14" s="1">
        <v>12</v>
      </c>
      <c r="B14" s="1" t="s">
        <v>27</v>
      </c>
      <c r="C14" s="1" t="s">
        <v>26</v>
      </c>
      <c r="D14" s="1" t="s">
        <v>8</v>
      </c>
      <c r="E14" s="1" t="s">
        <v>5</v>
      </c>
    </row>
    <row r="15" spans="1:5" ht="15.6" x14ac:dyDescent="0.3">
      <c r="A15" s="1">
        <v>13</v>
      </c>
      <c r="B15" s="1" t="s">
        <v>28</v>
      </c>
      <c r="C15" s="1" t="s">
        <v>29</v>
      </c>
      <c r="D15" s="1" t="s">
        <v>8</v>
      </c>
      <c r="E15" s="1" t="s">
        <v>5</v>
      </c>
    </row>
    <row r="16" spans="1:5" ht="15.6" x14ac:dyDescent="0.3">
      <c r="A16" s="1">
        <v>14</v>
      </c>
      <c r="B16" s="1" t="s">
        <v>30</v>
      </c>
      <c r="C16" s="1" t="s">
        <v>31</v>
      </c>
      <c r="D16" s="1" t="s">
        <v>8</v>
      </c>
      <c r="E16" s="1" t="s">
        <v>5</v>
      </c>
    </row>
    <row r="17" spans="1:5" ht="15.6" x14ac:dyDescent="0.3">
      <c r="A17" s="1">
        <v>15</v>
      </c>
      <c r="B17" s="1" t="s">
        <v>32</v>
      </c>
      <c r="C17" s="1" t="s">
        <v>33</v>
      </c>
      <c r="D17" s="1" t="s">
        <v>8</v>
      </c>
      <c r="E17" s="1" t="s">
        <v>5</v>
      </c>
    </row>
    <row r="18" spans="1:5" ht="15.6" x14ac:dyDescent="0.3">
      <c r="A18" s="4"/>
      <c r="B18" s="4"/>
    </row>
    <row r="19" spans="1:5" ht="15.6" x14ac:dyDescent="0.3">
      <c r="A19" s="4"/>
      <c r="B19" s="4"/>
    </row>
    <row r="20" spans="1:5" ht="15.6" x14ac:dyDescent="0.3">
      <c r="A20" s="3" t="s">
        <v>1</v>
      </c>
      <c r="B20" s="3" t="s">
        <v>34</v>
      </c>
      <c r="C20" s="3" t="s">
        <v>3</v>
      </c>
      <c r="D20" s="3" t="s">
        <v>4</v>
      </c>
      <c r="E20" s="3" t="s">
        <v>5</v>
      </c>
    </row>
    <row r="21" spans="1:5" ht="15.6" x14ac:dyDescent="0.3">
      <c r="A21" s="15">
        <v>1</v>
      </c>
      <c r="B21" s="1" t="s">
        <v>35</v>
      </c>
      <c r="C21" s="1" t="s">
        <v>36</v>
      </c>
      <c r="D21" s="1" t="s">
        <v>37</v>
      </c>
      <c r="E21" s="1" t="s">
        <v>38</v>
      </c>
    </row>
    <row r="22" spans="1:5" ht="15.6" x14ac:dyDescent="0.3">
      <c r="A22" s="1">
        <v>2</v>
      </c>
      <c r="B22" s="1" t="s">
        <v>39</v>
      </c>
      <c r="C22" s="1" t="s">
        <v>40</v>
      </c>
      <c r="D22" s="1" t="s">
        <v>37</v>
      </c>
      <c r="E22" s="1" t="s">
        <v>38</v>
      </c>
    </row>
    <row r="23" spans="1:5" ht="15.6" x14ac:dyDescent="0.3">
      <c r="A23" s="1">
        <v>3</v>
      </c>
      <c r="B23" s="1" t="s">
        <v>41</v>
      </c>
      <c r="C23" s="1" t="s">
        <v>42</v>
      </c>
      <c r="D23" s="1" t="s">
        <v>37</v>
      </c>
      <c r="E23" s="1" t="s">
        <v>38</v>
      </c>
    </row>
    <row r="24" spans="1:5" ht="15.6" x14ac:dyDescent="0.3">
      <c r="A24" s="1">
        <v>4</v>
      </c>
      <c r="B24" s="1" t="s">
        <v>43</v>
      </c>
      <c r="C24" s="1" t="s">
        <v>44</v>
      </c>
      <c r="D24" s="1" t="s">
        <v>37</v>
      </c>
      <c r="E24" s="1" t="s">
        <v>38</v>
      </c>
    </row>
    <row r="25" spans="1:5" ht="15.6" x14ac:dyDescent="0.3">
      <c r="A25" s="1">
        <v>5</v>
      </c>
      <c r="B25" s="1" t="s">
        <v>45</v>
      </c>
      <c r="C25" s="1" t="s">
        <v>46</v>
      </c>
      <c r="D25" s="1" t="s">
        <v>37</v>
      </c>
      <c r="E25" s="1" t="s">
        <v>38</v>
      </c>
    </row>
    <row r="26" spans="1:5" ht="15.6" x14ac:dyDescent="0.3">
      <c r="A26" s="1">
        <v>6</v>
      </c>
      <c r="B26" s="1" t="s">
        <v>47</v>
      </c>
      <c r="C26" s="1" t="s">
        <v>31</v>
      </c>
      <c r="D26" s="1" t="s">
        <v>37</v>
      </c>
      <c r="E26" s="1" t="s">
        <v>38</v>
      </c>
    </row>
    <row r="27" spans="1:5" ht="15.6" x14ac:dyDescent="0.3">
      <c r="A27" s="1">
        <v>7</v>
      </c>
      <c r="B27" s="1" t="s">
        <v>48</v>
      </c>
      <c r="C27" s="1" t="s">
        <v>49</v>
      </c>
      <c r="D27" s="1" t="s">
        <v>37</v>
      </c>
      <c r="E27" s="1" t="s">
        <v>38</v>
      </c>
    </row>
    <row r="28" spans="1:5" ht="15.6" x14ac:dyDescent="0.3">
      <c r="A28" s="1">
        <v>8</v>
      </c>
      <c r="B28" s="1" t="s">
        <v>50</v>
      </c>
      <c r="C28" s="1" t="s">
        <v>51</v>
      </c>
      <c r="D28" s="1" t="s">
        <v>37</v>
      </c>
      <c r="E28" s="1" t="s">
        <v>38</v>
      </c>
    </row>
    <row r="29" spans="1:5" ht="15.6" x14ac:dyDescent="0.3">
      <c r="A29" s="1">
        <v>9</v>
      </c>
      <c r="B29" s="1" t="s">
        <v>52</v>
      </c>
      <c r="C29" s="1" t="s">
        <v>53</v>
      </c>
      <c r="D29" s="1" t="s">
        <v>37</v>
      </c>
      <c r="E29" s="1" t="s">
        <v>38</v>
      </c>
    </row>
    <row r="30" spans="1:5" ht="15.6" x14ac:dyDescent="0.3">
      <c r="A30" s="1">
        <v>10</v>
      </c>
      <c r="B30" s="1" t="s">
        <v>54</v>
      </c>
      <c r="C30" s="2" t="s">
        <v>55</v>
      </c>
      <c r="D30" s="1" t="s">
        <v>37</v>
      </c>
      <c r="E30" s="1" t="s">
        <v>38</v>
      </c>
    </row>
    <row r="31" spans="1:5" ht="15.6" x14ac:dyDescent="0.3">
      <c r="A31" s="1">
        <v>11</v>
      </c>
      <c r="B31" s="1" t="s">
        <v>56</v>
      </c>
      <c r="C31" s="1" t="s">
        <v>57</v>
      </c>
      <c r="D31" s="1" t="s">
        <v>37</v>
      </c>
      <c r="E31" s="1" t="s">
        <v>38</v>
      </c>
    </row>
    <row r="32" spans="1:5" ht="15.6" x14ac:dyDescent="0.3">
      <c r="A32" s="1">
        <v>12</v>
      </c>
      <c r="B32" s="1" t="s">
        <v>58</v>
      </c>
      <c r="C32" s="1" t="s">
        <v>59</v>
      </c>
      <c r="D32" s="1" t="s">
        <v>37</v>
      </c>
      <c r="E32" s="1" t="s">
        <v>38</v>
      </c>
    </row>
    <row r="33" spans="1:5" ht="15.6" x14ac:dyDescent="0.3">
      <c r="A33" s="1">
        <v>13</v>
      </c>
      <c r="B33" s="1" t="s">
        <v>60</v>
      </c>
      <c r="C33" s="1" t="s">
        <v>61</v>
      </c>
      <c r="D33" s="1" t="s">
        <v>37</v>
      </c>
      <c r="E33" s="1" t="s">
        <v>38</v>
      </c>
    </row>
    <row r="34" spans="1:5" ht="15.6" x14ac:dyDescent="0.3">
      <c r="A34" s="1">
        <v>14</v>
      </c>
      <c r="B34" s="1" t="s">
        <v>62</v>
      </c>
      <c r="C34" s="1" t="s">
        <v>63</v>
      </c>
      <c r="D34" s="1" t="s">
        <v>37</v>
      </c>
      <c r="E34" s="1" t="s">
        <v>38</v>
      </c>
    </row>
    <row r="35" spans="1:5" ht="15.6" x14ac:dyDescent="0.3">
      <c r="A35" s="1">
        <v>15</v>
      </c>
      <c r="B35" s="1" t="s">
        <v>64</v>
      </c>
      <c r="C35" s="1" t="s">
        <v>65</v>
      </c>
      <c r="D35" s="1" t="s">
        <v>37</v>
      </c>
      <c r="E35" s="1" t="s">
        <v>38</v>
      </c>
    </row>
    <row r="36" spans="1:5" ht="15.6" x14ac:dyDescent="0.3">
      <c r="A36" s="14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50A4-2871-47CF-92AB-15AD5EAA1962}">
  <dimension ref="A1:G7"/>
  <sheetViews>
    <sheetView tabSelected="1" workbookViewId="0">
      <selection activeCell="F14" sqref="F14"/>
    </sheetView>
  </sheetViews>
  <sheetFormatPr defaultRowHeight="14.4" x14ac:dyDescent="0.3"/>
  <cols>
    <col min="2" max="2" width="31" bestFit="1" customWidth="1"/>
    <col min="3" max="3" width="29.88671875" bestFit="1" customWidth="1"/>
    <col min="4" max="4" width="13.6640625" bestFit="1" customWidth="1"/>
    <col min="5" max="5" width="20.5546875" bestFit="1" customWidth="1"/>
    <col min="6" max="6" width="13.109375" bestFit="1" customWidth="1"/>
    <col min="7" max="7" width="16.5546875" bestFit="1" customWidth="1"/>
  </cols>
  <sheetData>
    <row r="1" spans="1:7" ht="17.399999999999999" x14ac:dyDescent="0.3">
      <c r="A1" s="13" t="s">
        <v>66</v>
      </c>
      <c r="B1" s="13"/>
      <c r="C1" s="13"/>
      <c r="D1" s="13"/>
      <c r="E1" s="13"/>
      <c r="F1" s="13"/>
      <c r="G1" s="13"/>
    </row>
    <row r="2" spans="1:7" ht="15.6" x14ac:dyDescent="0.3">
      <c r="A2" s="3" t="s">
        <v>67</v>
      </c>
      <c r="B2" s="3" t="s">
        <v>34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</row>
    <row r="3" spans="1:7" ht="15.6" x14ac:dyDescent="0.3">
      <c r="A3" s="1">
        <v>1</v>
      </c>
      <c r="B3" s="1" t="s">
        <v>6</v>
      </c>
      <c r="C3" s="1" t="s">
        <v>73</v>
      </c>
      <c r="D3" s="7">
        <v>1305.7</v>
      </c>
      <c r="E3" s="5">
        <v>1319</v>
      </c>
      <c r="F3" s="6">
        <f>-D3-E3</f>
        <v>-2624.7</v>
      </c>
      <c r="G3" s="1" t="s">
        <v>74</v>
      </c>
    </row>
    <row r="4" spans="1:7" ht="15.6" x14ac:dyDescent="0.3">
      <c r="A4" s="1">
        <v>2</v>
      </c>
      <c r="B4" s="1" t="s">
        <v>9</v>
      </c>
      <c r="C4" s="1" t="s">
        <v>75</v>
      </c>
      <c r="D4" s="5">
        <v>2440.3000000000002</v>
      </c>
      <c r="E4" s="5">
        <v>2473.6999999999998</v>
      </c>
      <c r="F4" s="5">
        <f>-D4-E4</f>
        <v>-4914</v>
      </c>
      <c r="G4" s="1" t="s">
        <v>74</v>
      </c>
    </row>
    <row r="5" spans="1:7" ht="15.6" x14ac:dyDescent="0.3">
      <c r="A5" s="1">
        <v>3</v>
      </c>
      <c r="B5" s="1" t="s">
        <v>11</v>
      </c>
      <c r="C5" s="1" t="s">
        <v>76</v>
      </c>
      <c r="D5" s="5">
        <v>1158.3</v>
      </c>
      <c r="E5" s="5">
        <v>1180</v>
      </c>
      <c r="F5" s="5">
        <f>-D5-E5</f>
        <v>-2338.3000000000002</v>
      </c>
      <c r="G5" s="1" t="s">
        <v>74</v>
      </c>
    </row>
    <row r="6" spans="1:7" ht="15.6" x14ac:dyDescent="0.3">
      <c r="A6" s="1">
        <v>4</v>
      </c>
      <c r="B6" s="1" t="s">
        <v>12</v>
      </c>
      <c r="C6" s="1" t="s">
        <v>77</v>
      </c>
      <c r="D6" s="1">
        <v>746.75</v>
      </c>
      <c r="E6" s="1">
        <v>753</v>
      </c>
      <c r="F6" s="1">
        <f>-D6-E6</f>
        <v>-1499.75</v>
      </c>
      <c r="G6" s="1" t="s">
        <v>74</v>
      </c>
    </row>
    <row r="7" spans="1:7" ht="15.6" x14ac:dyDescent="0.3">
      <c r="A7" s="1">
        <v>5</v>
      </c>
      <c r="B7" s="1" t="s">
        <v>14</v>
      </c>
      <c r="C7" s="1" t="s">
        <v>78</v>
      </c>
      <c r="D7" s="5">
        <v>1446.5</v>
      </c>
      <c r="E7" s="5">
        <v>1460</v>
      </c>
      <c r="F7" s="5">
        <f>-D7-E7</f>
        <v>-2906.5</v>
      </c>
      <c r="G7" s="1" t="s">
        <v>74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786D-B0AD-44DF-A531-6C539F2AAF93}">
  <dimension ref="A1:H25"/>
  <sheetViews>
    <sheetView topLeftCell="A9" workbookViewId="0">
      <selection activeCell="K16" sqref="K16"/>
    </sheetView>
  </sheetViews>
  <sheetFormatPr defaultRowHeight="14.4" x14ac:dyDescent="0.3"/>
  <cols>
    <col min="1" max="1" width="6.109375" bestFit="1" customWidth="1"/>
    <col min="2" max="2" width="45.6640625" bestFit="1" customWidth="1"/>
    <col min="3" max="3" width="22.6640625" bestFit="1" customWidth="1"/>
    <col min="4" max="4" width="29.5546875" bestFit="1" customWidth="1"/>
    <col min="5" max="8" width="15.6640625" bestFit="1" customWidth="1"/>
  </cols>
  <sheetData>
    <row r="1" spans="1:8" ht="15.6" x14ac:dyDescent="0.3">
      <c r="A1" s="11" t="s">
        <v>79</v>
      </c>
      <c r="B1" s="11"/>
      <c r="C1" s="11"/>
      <c r="D1" s="11"/>
      <c r="E1" s="11"/>
      <c r="F1" s="11"/>
      <c r="G1" s="11"/>
      <c r="H1" s="4"/>
    </row>
    <row r="2" spans="1:8" ht="15.6" x14ac:dyDescent="0.3">
      <c r="A2" s="3" t="s">
        <v>67</v>
      </c>
      <c r="B2" s="9" t="s">
        <v>2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9" t="s">
        <v>85</v>
      </c>
    </row>
    <row r="3" spans="1:8" ht="15.6" x14ac:dyDescent="0.3">
      <c r="A3" s="8">
        <v>1</v>
      </c>
      <c r="B3" s="1" t="s">
        <v>6</v>
      </c>
      <c r="C3" s="10">
        <v>1299.7</v>
      </c>
      <c r="D3" s="10">
        <v>1392.8</v>
      </c>
      <c r="E3" s="8">
        <v>1456.05</v>
      </c>
      <c r="F3" s="8">
        <v>1254.78</v>
      </c>
      <c r="G3" s="8">
        <v>1169</v>
      </c>
      <c r="H3" s="8">
        <v>964.1</v>
      </c>
    </row>
    <row r="4" spans="1:8" ht="15.6" x14ac:dyDescent="0.3">
      <c r="A4" s="8">
        <v>2</v>
      </c>
      <c r="B4" s="1" t="s">
        <v>9</v>
      </c>
      <c r="C4" s="8">
        <v>4215.8</v>
      </c>
      <c r="D4" s="8">
        <v>3912.4</v>
      </c>
      <c r="E4" s="8">
        <v>3648.2</v>
      </c>
      <c r="F4" s="8">
        <v>3320.6</v>
      </c>
      <c r="G4" s="8">
        <v>3018.4</v>
      </c>
      <c r="H4" s="8">
        <v>2895.3</v>
      </c>
    </row>
    <row r="5" spans="1:8" ht="15.6" x14ac:dyDescent="0.3">
      <c r="A5" s="8">
        <v>3</v>
      </c>
      <c r="B5" s="1" t="s">
        <v>11</v>
      </c>
      <c r="C5" s="8">
        <v>1854.7</v>
      </c>
      <c r="D5" s="8">
        <v>1712.3</v>
      </c>
      <c r="E5" s="8">
        <v>1598.5</v>
      </c>
      <c r="F5" s="8">
        <v>1465.8</v>
      </c>
      <c r="G5" s="8">
        <v>1324.4</v>
      </c>
      <c r="H5" s="8">
        <v>1186.2</v>
      </c>
    </row>
    <row r="6" spans="1:8" ht="15.6" x14ac:dyDescent="0.3">
      <c r="A6" s="8">
        <v>4</v>
      </c>
      <c r="B6" s="1" t="s">
        <v>12</v>
      </c>
      <c r="C6" s="8">
        <v>2018.9</v>
      </c>
      <c r="D6" s="8">
        <v>1756.2</v>
      </c>
      <c r="E6" s="8">
        <v>1624.7</v>
      </c>
      <c r="F6" s="8">
        <v>1492.3</v>
      </c>
      <c r="G6" s="8">
        <v>1435.8</v>
      </c>
      <c r="H6" s="8">
        <v>1388.5</v>
      </c>
    </row>
    <row r="7" spans="1:8" ht="15.6" x14ac:dyDescent="0.3">
      <c r="A7" s="8">
        <v>5</v>
      </c>
      <c r="B7" s="1" t="s">
        <v>14</v>
      </c>
      <c r="C7" s="8">
        <v>1528.4</v>
      </c>
      <c r="D7" s="8">
        <v>1218.5999999999999</v>
      </c>
      <c r="E7" s="8">
        <v>1086.4000000000001</v>
      </c>
      <c r="F7" s="8">
        <v>964.5</v>
      </c>
      <c r="G7" s="8">
        <v>852.4</v>
      </c>
      <c r="H7" s="8">
        <v>701.8</v>
      </c>
    </row>
    <row r="8" spans="1:8" ht="15.6" x14ac:dyDescent="0.3">
      <c r="A8" s="4"/>
      <c r="B8" s="4"/>
      <c r="C8" s="4"/>
      <c r="D8" s="4"/>
      <c r="E8" s="4"/>
      <c r="F8" s="4"/>
      <c r="G8" s="4"/>
      <c r="H8" s="4"/>
    </row>
    <row r="9" spans="1:8" ht="15.6" x14ac:dyDescent="0.3">
      <c r="A9" s="4"/>
      <c r="B9" s="4"/>
      <c r="C9" s="4"/>
      <c r="D9" s="4"/>
      <c r="E9" s="4"/>
      <c r="F9" s="4"/>
      <c r="G9" s="4"/>
      <c r="H9" s="4"/>
    </row>
    <row r="10" spans="1:8" ht="15.6" x14ac:dyDescent="0.3">
      <c r="A10" s="4"/>
      <c r="B10" s="4"/>
      <c r="C10" s="4"/>
      <c r="D10" s="4"/>
      <c r="E10" s="4"/>
      <c r="F10" s="4"/>
      <c r="G10" s="4"/>
      <c r="H10" s="4"/>
    </row>
    <row r="11" spans="1:8" ht="15.6" x14ac:dyDescent="0.3">
      <c r="A11" s="4"/>
      <c r="B11" s="4"/>
      <c r="C11" s="4"/>
      <c r="D11" s="4"/>
      <c r="E11" s="4"/>
      <c r="F11" s="4"/>
      <c r="G11" s="4"/>
      <c r="H11" s="4"/>
    </row>
    <row r="12" spans="1:8" ht="15.6" x14ac:dyDescent="0.3">
      <c r="A12" s="4"/>
      <c r="B12" s="11" t="s">
        <v>86</v>
      </c>
      <c r="C12" s="11"/>
      <c r="D12" s="11"/>
      <c r="E12" s="11"/>
      <c r="F12" s="11"/>
      <c r="G12" s="11"/>
      <c r="H12" s="11"/>
    </row>
    <row r="13" spans="1:8" ht="15.6" x14ac:dyDescent="0.3">
      <c r="A13" s="3" t="s">
        <v>67</v>
      </c>
      <c r="B13" s="9" t="s">
        <v>87</v>
      </c>
      <c r="C13" s="9" t="s">
        <v>88</v>
      </c>
      <c r="D13" s="9" t="s">
        <v>89</v>
      </c>
      <c r="E13" s="9" t="s">
        <v>90</v>
      </c>
      <c r="F13" s="9" t="s">
        <v>91</v>
      </c>
      <c r="G13" s="9" t="s">
        <v>92</v>
      </c>
      <c r="H13" s="9" t="s">
        <v>93</v>
      </c>
    </row>
    <row r="14" spans="1:8" ht="15.6" x14ac:dyDescent="0.3">
      <c r="A14" s="8">
        <v>1</v>
      </c>
      <c r="B14" s="1" t="s">
        <v>6</v>
      </c>
      <c r="C14" s="8">
        <v>100000</v>
      </c>
      <c r="D14" s="8">
        <f>C3*C14/D3</f>
        <v>93315.623205054566</v>
      </c>
      <c r="E14" s="8">
        <f>C3*C14/E3</f>
        <v>89262.044572645173</v>
      </c>
      <c r="F14" s="8">
        <f>C3*C14/F3</f>
        <v>103579.9104225442</v>
      </c>
      <c r="G14" s="8">
        <f>C3*C14/G3</f>
        <v>111180.49615055603</v>
      </c>
      <c r="H14" s="8">
        <f>C3*C14/H3</f>
        <v>134809.66704698681</v>
      </c>
    </row>
    <row r="15" spans="1:8" ht="15.6" x14ac:dyDescent="0.3">
      <c r="A15" s="8">
        <v>2</v>
      </c>
      <c r="B15" s="1" t="s">
        <v>9</v>
      </c>
      <c r="C15" s="8">
        <v>100000</v>
      </c>
      <c r="D15" s="8">
        <f>C4*C15/D4</f>
        <v>107754.8307943973</v>
      </c>
      <c r="E15" s="8">
        <f>C4*C15/E4</f>
        <v>115558.35754618717</v>
      </c>
      <c r="F15" s="8">
        <f>C4*C15/F4</f>
        <v>126958.98331626815</v>
      </c>
      <c r="G15" s="8">
        <f>C4*C15/G4</f>
        <v>139670.02385369732</v>
      </c>
      <c r="H15" s="8">
        <f>C4*C15/H4</f>
        <v>145608.39982039857</v>
      </c>
    </row>
    <row r="16" spans="1:8" ht="15.6" x14ac:dyDescent="0.3">
      <c r="A16" s="8">
        <v>3</v>
      </c>
      <c r="B16" s="1" t="s">
        <v>11</v>
      </c>
      <c r="C16" s="8">
        <v>100000</v>
      </c>
      <c r="D16" s="8">
        <f>C5*C16/D5</f>
        <v>108316.29971383519</v>
      </c>
      <c r="E16" s="8">
        <f>C5*C16/E5</f>
        <v>116027.52580544261</v>
      </c>
      <c r="F16" s="8">
        <f>C5*C16/F5</f>
        <v>126531.58684677309</v>
      </c>
      <c r="G16" s="8">
        <f>C5*C16/G5</f>
        <v>140040.77318030805</v>
      </c>
      <c r="H16" s="8">
        <f>C5*C16/H5</f>
        <v>156356.43230483896</v>
      </c>
    </row>
    <row r="17" spans="1:8" ht="15.6" x14ac:dyDescent="0.3">
      <c r="A17" s="8">
        <v>4</v>
      </c>
      <c r="B17" s="1" t="s">
        <v>12</v>
      </c>
      <c r="C17" s="8">
        <v>100000</v>
      </c>
      <c r="D17" s="8">
        <f>C6*C17/D6</f>
        <v>114958.43298029837</v>
      </c>
      <c r="E17" s="8">
        <f>C6*C17/E6</f>
        <v>124262.94085061857</v>
      </c>
      <c r="F17" s="8">
        <f>C6*C17/F6</f>
        <v>135287.81076191115</v>
      </c>
      <c r="G17" s="8">
        <f>C6*C17/G6</f>
        <v>140611.5057807494</v>
      </c>
      <c r="H17" s="8">
        <f>C6*C17/H6</f>
        <v>145401.51242347856</v>
      </c>
    </row>
    <row r="18" spans="1:8" ht="15.6" x14ac:dyDescent="0.3">
      <c r="A18" s="8">
        <v>5</v>
      </c>
      <c r="B18" s="1" t="s">
        <v>14</v>
      </c>
      <c r="C18" s="8">
        <v>100000</v>
      </c>
      <c r="D18" s="8">
        <f>C7*C18/D7</f>
        <v>125422.61611685541</v>
      </c>
      <c r="E18" s="8">
        <f>C7*C18/E7</f>
        <v>140684.83063328423</v>
      </c>
      <c r="F18" s="8">
        <f>C7*C18/F7</f>
        <v>158465.52617936756</v>
      </c>
      <c r="G18" s="8">
        <f>C7*C18/G7</f>
        <v>179305.49038010323</v>
      </c>
      <c r="H18" s="8">
        <f>C7*C18/H7</f>
        <v>217782.84411513252</v>
      </c>
    </row>
    <row r="19" spans="1:8" ht="15.6" x14ac:dyDescent="0.3">
      <c r="A19" s="4"/>
      <c r="B19" s="4"/>
      <c r="C19" s="4"/>
      <c r="D19" s="4"/>
      <c r="E19" s="4"/>
      <c r="F19" s="4"/>
      <c r="G19" s="4"/>
      <c r="H19" s="4"/>
    </row>
    <row r="20" spans="1:8" ht="15.6" x14ac:dyDescent="0.3">
      <c r="A20" s="4"/>
      <c r="B20" s="4"/>
      <c r="C20" s="4"/>
      <c r="D20" s="4"/>
      <c r="E20" s="4"/>
      <c r="F20" s="4"/>
      <c r="G20" s="4"/>
      <c r="H20" s="4"/>
    </row>
    <row r="21" spans="1:8" ht="15.6" x14ac:dyDescent="0.3">
      <c r="A21" s="11" t="s">
        <v>94</v>
      </c>
      <c r="B21" s="11"/>
      <c r="C21" s="11"/>
      <c r="D21" s="11"/>
      <c r="E21" s="11"/>
      <c r="F21" s="11"/>
      <c r="G21" s="11"/>
      <c r="H21" s="11"/>
    </row>
    <row r="22" spans="1:8" ht="15.6" x14ac:dyDescent="0.3">
      <c r="A22" s="9" t="s">
        <v>67</v>
      </c>
      <c r="B22" s="9" t="s">
        <v>95</v>
      </c>
      <c r="C22" s="9" t="s">
        <v>88</v>
      </c>
      <c r="D22" s="9" t="s">
        <v>96</v>
      </c>
      <c r="E22" s="9" t="s">
        <v>97</v>
      </c>
      <c r="F22" s="9" t="s">
        <v>98</v>
      </c>
      <c r="G22" s="9" t="s">
        <v>99</v>
      </c>
      <c r="H22" s="9" t="s">
        <v>100</v>
      </c>
    </row>
    <row r="23" spans="1:8" ht="15.6" x14ac:dyDescent="0.3">
      <c r="A23" s="8">
        <v>1</v>
      </c>
      <c r="B23" s="1" t="s">
        <v>101</v>
      </c>
      <c r="C23" s="8">
        <v>100000</v>
      </c>
      <c r="D23" s="8">
        <f>D25*3/100</f>
        <v>3214.895745171963</v>
      </c>
      <c r="E23" s="8">
        <f>E25*3/100</f>
        <v>3360.8909748403476</v>
      </c>
      <c r="F23" s="8">
        <f>F25*3/100</f>
        <v>2896.3145341232594</v>
      </c>
      <c r="G23" s="8">
        <f>G25*3/100</f>
        <v>2698.314995768254</v>
      </c>
      <c r="H23" s="8">
        <f>H25*3/100</f>
        <v>2225.3596983919369</v>
      </c>
    </row>
    <row r="24" spans="1:8" ht="15.6" x14ac:dyDescent="0.3">
      <c r="A24" s="8">
        <v>2</v>
      </c>
      <c r="B24" s="1" t="s">
        <v>102</v>
      </c>
      <c r="C24" s="8">
        <v>100000</v>
      </c>
      <c r="D24" s="8">
        <f>D25*7/100</f>
        <v>7501.4234054012459</v>
      </c>
      <c r="E24" s="8">
        <f>E25*7/100</f>
        <v>7842.0789412941449</v>
      </c>
      <c r="F24" s="8">
        <f>F25*7/100</f>
        <v>6758.0672462876046</v>
      </c>
      <c r="G24" s="8">
        <f>G25*7/100</f>
        <v>6296.0683234592598</v>
      </c>
      <c r="H24" s="8">
        <f>H25*7/100</f>
        <v>5192.5059629145198</v>
      </c>
    </row>
    <row r="25" spans="1:8" ht="15.6" x14ac:dyDescent="0.3">
      <c r="A25" s="8">
        <v>3</v>
      </c>
      <c r="B25" s="1" t="s">
        <v>103</v>
      </c>
      <c r="C25" s="8">
        <v>100000</v>
      </c>
      <c r="D25" s="8">
        <f>C14*C25/D14</f>
        <v>107163.19150573209</v>
      </c>
      <c r="E25" s="8">
        <f>C14*C25/E14</f>
        <v>112029.69916134492</v>
      </c>
      <c r="F25" s="8">
        <f>C14*C25/F14</f>
        <v>96543.817804108636</v>
      </c>
      <c r="G25" s="8">
        <f>C14*C25/G14</f>
        <v>89943.833192275139</v>
      </c>
      <c r="H25" s="8">
        <f>C14*C25/H14</f>
        <v>74178.656613064566</v>
      </c>
    </row>
  </sheetData>
  <mergeCells count="3">
    <mergeCell ref="A1:G1"/>
    <mergeCell ref="B12:H12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1</vt:lpstr>
      <vt:lpstr>Session 2</vt:lpstr>
      <vt:lpstr>Session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Deenah .N</dc:creator>
  <cp:keywords/>
  <dc:description/>
  <cp:lastModifiedBy>Deenah .N</cp:lastModifiedBy>
  <cp:revision/>
  <dcterms:created xsi:type="dcterms:W3CDTF">2026-08-06T06:53:14Z</dcterms:created>
  <dcterms:modified xsi:type="dcterms:W3CDTF">2026-08-06T10:58:07Z</dcterms:modified>
  <cp:category/>
  <cp:contentStatus/>
</cp:coreProperties>
</file>